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-shamaa\Downloads\"/>
    </mc:Choice>
  </mc:AlternateContent>
  <xr:revisionPtr revIDLastSave="0" documentId="13_ncr:1_{C0CFC1B0-A320-4232-8A14-D17C17F5EACB}" xr6:coauthVersionLast="47" xr6:coauthVersionMax="47" xr10:uidLastSave="{00000000-0000-0000-0000-000000000000}"/>
  <bookViews>
    <workbookView xWindow="-108" yWindow="-108" windowWidth="23256" windowHeight="12456" xr2:uid="{BD82420E-435A-4990-BD36-D6EF7A3E1476}"/>
  </bookViews>
  <sheets>
    <sheet name="Scenario Buil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67" i="1" l="1"/>
  <c r="A64" i="1"/>
  <c r="A62" i="1"/>
  <c r="A56" i="1"/>
  <c r="A55" i="1"/>
  <c r="A54" i="1"/>
  <c r="A53" i="1"/>
  <c r="A52" i="1"/>
  <c r="B14" i="1"/>
  <c r="B13" i="1"/>
  <c r="I25" i="1" l="1"/>
  <c r="J25" i="1"/>
  <c r="K25" i="1"/>
  <c r="I24" i="1"/>
  <c r="J24" i="1"/>
  <c r="K24" i="1"/>
  <c r="A37" i="1" l="1"/>
  <c r="A36" i="1"/>
  <c r="A35" i="1"/>
  <c r="A34" i="1"/>
  <c r="D18" i="1"/>
  <c r="D17" i="1"/>
  <c r="F24" i="1"/>
  <c r="G24" i="1"/>
  <c r="H24" i="1"/>
  <c r="E24" i="1"/>
  <c r="C26" i="1" l="1"/>
  <c r="C25" i="1"/>
  <c r="D25" i="1" s="1"/>
  <c r="C24" i="1"/>
  <c r="B26" i="1"/>
  <c r="H25" i="1"/>
  <c r="G25" i="1"/>
  <c r="F25" i="1"/>
  <c r="E25" i="1"/>
  <c r="B24" i="1"/>
  <c r="D24" i="1" l="1"/>
  <c r="D26" i="1"/>
  <c r="B8" i="1"/>
  <c r="J26" i="1" l="1"/>
  <c r="I26" i="1"/>
  <c r="K26" i="1"/>
  <c r="E26" i="1"/>
  <c r="F26" i="1"/>
  <c r="G26" i="1"/>
  <c r="A33" i="1"/>
  <c r="H26" i="1"/>
  <c r="B10" i="1"/>
  <c r="I27" i="1" s="1"/>
  <c r="B9" i="1"/>
  <c r="K27" i="1" l="1"/>
  <c r="J27" i="1"/>
  <c r="B11" i="1"/>
  <c r="C27" i="1"/>
  <c r="D27" i="1" s="1"/>
  <c r="A38" i="1"/>
  <c r="A39" i="1"/>
  <c r="G27" i="1"/>
  <c r="E27" i="1"/>
  <c r="F27" i="1"/>
  <c r="H27" i="1"/>
  <c r="A20" i="1"/>
</calcChain>
</file>

<file path=xl/sharedStrings.xml><?xml version="1.0" encoding="utf-8"?>
<sst xmlns="http://schemas.openxmlformats.org/spreadsheetml/2006/main" count="45" uniqueCount="43">
  <si>
    <t>Locations</t>
  </si>
  <si>
    <t>Test entries</t>
  </si>
  <si>
    <t>Entries cross locations</t>
  </si>
  <si>
    <t>Check entries</t>
  </si>
  <si>
    <t>Test entries but common per location</t>
  </si>
  <si>
    <t>P-Rep test entries per location</t>
  </si>
  <si>
    <t>Required plots per location</t>
  </si>
  <si>
    <t>Augmented blocks per location</t>
  </si>
  <si>
    <t>Un-replicated test entries per location</t>
  </si>
  <si>
    <t>Rep</t>
  </si>
  <si>
    <t>Pure test entries (not P-Rep nor cross locations)</t>
  </si>
  <si>
    <t>Check Entries</t>
  </si>
  <si>
    <t>Test Entries Cross Locations</t>
  </si>
  <si>
    <t>Replicated Test Entries in P-Rep Design</t>
  </si>
  <si>
    <t>Unreplicated Test Entries</t>
  </si>
  <si>
    <t>Total plots</t>
  </si>
  <si>
    <t>Plots</t>
  </si>
  <si>
    <t>Number</t>
  </si>
  <si>
    <t>library(DiGGer)</t>
  </si>
  <si>
    <t>Field</t>
  </si>
  <si>
    <t>Block</t>
  </si>
  <si>
    <t>Rows</t>
  </si>
  <si>
    <t>Columns</t>
  </si>
  <si>
    <t>Field Layout</t>
  </si>
  <si>
    <t>DiGGer / R Language generator code for location</t>
  </si>
  <si>
    <t>layout &lt;- getDesign(design)</t>
  </si>
  <si>
    <t>layout &lt;- sapply(layout, function(x) trt.name[match(x, 1:entries)])</t>
  </si>
  <si>
    <t>dim(layout) &lt;- c(field.rows, field.cols)</t>
  </si>
  <si>
    <t>colnames(fieldbook) &lt;- c("Plot", "Row", "Col", "Entry")</t>
  </si>
  <si>
    <t># http://nswdpibiom.org/austatgen/software/</t>
  </si>
  <si>
    <t>design &lt;- corDiGGer(numberOfTreatments = entries,</t>
  </si>
  <si>
    <t xml:space="preserve">                    rowsInDesign = field.rows,</t>
  </si>
  <si>
    <t xml:space="preserve">                    columnsInDesign = field.cols,</t>
  </si>
  <si>
    <t xml:space="preserve">                    blockSequence = list(c(block.rows, block.cols)),</t>
  </si>
  <si>
    <t xml:space="preserve">                    treatName = trt.name, </t>
  </si>
  <si>
    <t xml:space="preserve">                    treatRepPerRep = trt.rep)</t>
  </si>
  <si>
    <t>desPlot(layout, bdef = cbind(block.rows, block.cols), bwd = 4, bcol = 1, new = FALSE)</t>
  </si>
  <si>
    <t>fieldbook &lt;- design$dlist[,c("UNIT", "ROW", "RANGE", "ID")]</t>
  </si>
  <si>
    <t>Entry Type</t>
  </si>
  <si>
    <t>dev.off()</t>
  </si>
  <si>
    <t>Replication Ratio (%) per location</t>
  </si>
  <si>
    <t>Connectivity Ratio (%) per location</t>
  </si>
  <si>
    <t>fieldbook &lt;- fieldbook[order(fieldbook$Plot), c("Block", "Plot", "Row", "Col", "Entry")]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</si>
</sst>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/>
      <name val="Courier New"/>
      <family val="3"/>
    </font>
    <font>
      <b/>
      <sz val="11"/>
      <color theme="9"/>
      <name val="Courier New"/>
      <family val="3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0629-D810-4923-A763-8B7223C4C5FD}">
  <dimension ref="A1:K311"/>
  <sheetViews>
    <sheetView tabSelected="1" zoomScale="110" zoomScaleNormal="110" workbookViewId="0"/>
  </sheetViews>
  <sheetFormatPr defaultRowHeight="15" x14ac:dyDescent="0.25"/>
  <cols>
    <col min="1" max="1" width="43.42578125" customWidth="1"/>
    <col min="3" max="3" width="9.140625" customWidth="1"/>
    <col min="5" max="11" width="10.5703125" bestFit="1" customWidth="1"/>
  </cols>
  <sheetData>
    <row r="1" spans="1:4" x14ac:dyDescent="0.25">
      <c r="A1" t="s">
        <v>0</v>
      </c>
      <c r="B1" s="1">
        <v>7</v>
      </c>
    </row>
    <row r="2" spans="1:4" x14ac:dyDescent="0.25">
      <c r="A2" t="s">
        <v>1</v>
      </c>
      <c r="B2" s="1">
        <v>2004</v>
      </c>
    </row>
    <row r="3" spans="1:4" x14ac:dyDescent="0.25">
      <c r="A3" t="s">
        <v>3</v>
      </c>
      <c r="B3" s="1">
        <v>8</v>
      </c>
    </row>
    <row r="4" spans="1:4" x14ac:dyDescent="0.25">
      <c r="A4" t="s">
        <v>2</v>
      </c>
      <c r="B4" s="1">
        <v>51</v>
      </c>
      <c r="C4" s="7"/>
    </row>
    <row r="5" spans="1:4" x14ac:dyDescent="0.25">
      <c r="A5" t="s">
        <v>5</v>
      </c>
      <c r="B5" s="1">
        <v>54</v>
      </c>
    </row>
    <row r="6" spans="1:4" x14ac:dyDescent="0.25">
      <c r="A6" t="s">
        <v>7</v>
      </c>
      <c r="B6" s="1">
        <v>2</v>
      </c>
    </row>
    <row r="7" spans="1:4" x14ac:dyDescent="0.25">
      <c r="B7" s="1"/>
    </row>
    <row r="8" spans="1:4" x14ac:dyDescent="0.25">
      <c r="A8" t="s">
        <v>4</v>
      </c>
      <c r="B8" s="1">
        <f>(B2-B4)/B1</f>
        <v>279</v>
      </c>
    </row>
    <row r="9" spans="1:4" x14ac:dyDescent="0.25">
      <c r="A9" t="s">
        <v>8</v>
      </c>
      <c r="B9" s="1">
        <f>B8-B5+B4</f>
        <v>276</v>
      </c>
    </row>
    <row r="10" spans="1:4" x14ac:dyDescent="0.25">
      <c r="A10" t="s">
        <v>10</v>
      </c>
      <c r="B10" s="1">
        <f>B8-B5</f>
        <v>225</v>
      </c>
    </row>
    <row r="11" spans="1:4" x14ac:dyDescent="0.25">
      <c r="A11" t="s">
        <v>6</v>
      </c>
      <c r="B11" s="1">
        <f>B10+B4+B6*(B5+B3)</f>
        <v>400</v>
      </c>
    </row>
    <row r="12" spans="1:4" x14ac:dyDescent="0.25">
      <c r="B12" s="1"/>
    </row>
    <row r="13" spans="1:4" x14ac:dyDescent="0.25">
      <c r="A13" t="s">
        <v>40</v>
      </c>
      <c r="B13" s="9">
        <f>(B3 + B5) / (B3 + B5 + B9)</f>
        <v>0.18343195266272189</v>
      </c>
    </row>
    <row r="14" spans="1:4" x14ac:dyDescent="0.25">
      <c r="A14" t="s">
        <v>41</v>
      </c>
      <c r="B14" s="9">
        <f>(B3 + B4) / (B3 + B5 + B9)</f>
        <v>0.17455621301775148</v>
      </c>
    </row>
    <row r="16" spans="1:4" x14ac:dyDescent="0.25">
      <c r="A16" t="s">
        <v>23</v>
      </c>
      <c r="B16" s="1" t="s">
        <v>21</v>
      </c>
      <c r="C16" s="1" t="s">
        <v>22</v>
      </c>
      <c r="D16" s="1" t="s">
        <v>16</v>
      </c>
    </row>
    <row r="17" spans="1:11" x14ac:dyDescent="0.25">
      <c r="A17" s="3" t="s">
        <v>19</v>
      </c>
      <c r="B17" s="1">
        <v>20</v>
      </c>
      <c r="C17" s="1">
        <v>20</v>
      </c>
      <c r="D17" s="1">
        <f>$B$17*$C$17</f>
        <v>400</v>
      </c>
    </row>
    <row r="18" spans="1:11" x14ac:dyDescent="0.25">
      <c r="A18" s="3" t="s">
        <v>20</v>
      </c>
      <c r="B18" s="1">
        <v>20</v>
      </c>
      <c r="C18" s="1">
        <v>10</v>
      </c>
      <c r="D18" s="1">
        <f>$B$18*$C$18</f>
        <v>200</v>
      </c>
    </row>
    <row r="20" spans="1:11" x14ac:dyDescent="0.25">
      <c r="A20" t="str">
        <f>"Block size = "&amp;B11/B6&amp;" ("&amp;B3&amp;" Checks entries + "&amp;B5&amp;" P-Rep Test entries + "&amp;B9/B6&amp;" Test entries)"</f>
        <v>Block size = 200 (8 Checks entries + 54 P-Rep Test entries + 138 Test entries)</v>
      </c>
    </row>
    <row r="22" spans="1:11" x14ac:dyDescent="0.25">
      <c r="E22" s="8" t="s">
        <v>0</v>
      </c>
      <c r="F22" s="8"/>
      <c r="G22" s="8"/>
      <c r="H22" s="8"/>
      <c r="I22" s="8"/>
      <c r="J22" s="8"/>
      <c r="K22" s="8"/>
    </row>
    <row r="23" spans="1:11" x14ac:dyDescent="0.25">
      <c r="A23" t="s">
        <v>38</v>
      </c>
      <c r="B23" s="1" t="s">
        <v>9</v>
      </c>
      <c r="C23" s="1" t="s">
        <v>17</v>
      </c>
      <c r="D23" s="1" t="s">
        <v>16</v>
      </c>
      <c r="E23" s="1">
        <v>1</v>
      </c>
      <c r="F23" s="1">
        <v>2</v>
      </c>
      <c r="G23" s="1">
        <v>3</v>
      </c>
      <c r="H23" s="1">
        <v>4</v>
      </c>
      <c r="I23" s="1">
        <v>5</v>
      </c>
      <c r="J23" s="1">
        <v>6</v>
      </c>
      <c r="K23" s="1">
        <v>7</v>
      </c>
    </row>
    <row r="24" spans="1:11" x14ac:dyDescent="0.25">
      <c r="A24" s="2" t="s">
        <v>11</v>
      </c>
      <c r="B24" s="1">
        <f>B6</f>
        <v>2</v>
      </c>
      <c r="C24" s="1">
        <f>B3</f>
        <v>8</v>
      </c>
      <c r="D24" s="1">
        <f>B24*C24</f>
        <v>16</v>
      </c>
      <c r="E24" s="1" t="str">
        <f>$B$2+1&amp;" - "&amp;$B$2+$B$3</f>
        <v>2005 - 2012</v>
      </c>
      <c r="F24" s="1" t="str">
        <f t="shared" ref="F24:K24" si="0">$B$2+1&amp;" - "&amp;$B$2+$B$3</f>
        <v>2005 - 2012</v>
      </c>
      <c r="G24" s="1" t="str">
        <f t="shared" si="0"/>
        <v>2005 - 2012</v>
      </c>
      <c r="H24" s="1" t="str">
        <f t="shared" si="0"/>
        <v>2005 - 2012</v>
      </c>
      <c r="I24" s="1" t="str">
        <f t="shared" si="0"/>
        <v>2005 - 2012</v>
      </c>
      <c r="J24" s="1" t="str">
        <f t="shared" si="0"/>
        <v>2005 - 2012</v>
      </c>
      <c r="K24" s="1" t="str">
        <f t="shared" si="0"/>
        <v>2005 - 2012</v>
      </c>
    </row>
    <row r="25" spans="1:11" x14ac:dyDescent="0.25">
      <c r="A25" s="2" t="s">
        <v>12</v>
      </c>
      <c r="B25" s="1">
        <v>1</v>
      </c>
      <c r="C25" s="1">
        <f>B4</f>
        <v>51</v>
      </c>
      <c r="D25" s="1">
        <f t="shared" ref="D25:D27" si="1">B25*C25</f>
        <v>51</v>
      </c>
      <c r="E25" s="1" t="str">
        <f>"1 - "&amp;$B$4</f>
        <v>1 - 51</v>
      </c>
      <c r="F25" s="1" t="str">
        <f t="shared" ref="F25:K25" si="2">"1 - "&amp;$B$4</f>
        <v>1 - 51</v>
      </c>
      <c r="G25" s="1" t="str">
        <f t="shared" si="2"/>
        <v>1 - 51</v>
      </c>
      <c r="H25" s="1" t="str">
        <f t="shared" si="2"/>
        <v>1 - 51</v>
      </c>
      <c r="I25" s="1" t="str">
        <f t="shared" si="2"/>
        <v>1 - 51</v>
      </c>
      <c r="J25" s="1" t="str">
        <f t="shared" si="2"/>
        <v>1 - 51</v>
      </c>
      <c r="K25" s="1" t="str">
        <f t="shared" si="2"/>
        <v>1 - 51</v>
      </c>
    </row>
    <row r="26" spans="1:11" x14ac:dyDescent="0.25">
      <c r="A26" s="2" t="s">
        <v>13</v>
      </c>
      <c r="B26" s="1">
        <f>B6</f>
        <v>2</v>
      </c>
      <c r="C26" s="1">
        <f>B5</f>
        <v>54</v>
      </c>
      <c r="D26" s="1">
        <f t="shared" si="1"/>
        <v>108</v>
      </c>
      <c r="E26" s="1" t="str">
        <f t="shared" ref="E26:G26" si="3">(E23-1)*$B$8+$B$4+1&amp;" - "&amp;(E23-1)*$B$8+$B$4+$B$5</f>
        <v>52 - 105</v>
      </c>
      <c r="F26" s="1" t="str">
        <f t="shared" si="3"/>
        <v>331 - 384</v>
      </c>
      <c r="G26" s="1" t="str">
        <f t="shared" si="3"/>
        <v>610 - 663</v>
      </c>
      <c r="H26" s="1" t="str">
        <f>(H23-1)*$B$8+$B$4+1&amp;" - "&amp;(H23-1)*$B$8+$B$4+$B$5</f>
        <v>889 - 942</v>
      </c>
      <c r="I26" s="1" t="str">
        <f t="shared" ref="I26:K26" si="4">(I23-1)*$B$8+$B$4+1&amp;" - "&amp;(I23-1)*$B$8+$B$4+$B$5</f>
        <v>1168 - 1221</v>
      </c>
      <c r="J26" s="1" t="str">
        <f t="shared" si="4"/>
        <v>1447 - 1500</v>
      </c>
      <c r="K26" s="1" t="str">
        <f t="shared" si="4"/>
        <v>1726 - 1779</v>
      </c>
    </row>
    <row r="27" spans="1:11" x14ac:dyDescent="0.25">
      <c r="A27" s="2" t="s">
        <v>14</v>
      </c>
      <c r="B27" s="1">
        <v>1</v>
      </c>
      <c r="C27" s="1">
        <f>B10</f>
        <v>225</v>
      </c>
      <c r="D27" s="1">
        <f t="shared" si="1"/>
        <v>225</v>
      </c>
      <c r="E27" s="1" t="str">
        <f>(E23-1)*$B$8+$B$4+$B$5+1&amp;" - "&amp;(E23-1)*$B$8+$B$5+$B$4+$B$10</f>
        <v>106 - 330</v>
      </c>
      <c r="F27" s="1" t="str">
        <f>(F23-1)*$B$8+$B$4+$B$5+1&amp;" - "&amp;(F23-1)*$B$8+$B$5+$B$4+$B$10</f>
        <v>385 - 609</v>
      </c>
      <c r="G27" s="1" t="str">
        <f>(G23-1)*$B$8+$B$4+$B$5+1&amp;" - "&amp;(G23-1)*$B$8+$B$5+$B$4+$B$10</f>
        <v>664 - 888</v>
      </c>
      <c r="H27" s="1" t="str">
        <f>(H23-1)*$B$8+$B$4+$B$5+1&amp;" - "&amp;(H23-1)*$B$8+$B$5+$B$4+$B$10</f>
        <v>943 - 1167</v>
      </c>
      <c r="I27" s="1" t="str">
        <f t="shared" ref="I27:K27" si="5">(I23-1)*$B$8+$B$4+$B$5+1&amp;" - "&amp;(I23-1)*$B$8+$B$5+$B$4+$B$10</f>
        <v>1222 - 1446</v>
      </c>
      <c r="J27" s="1" t="str">
        <f t="shared" si="5"/>
        <v>1501 - 1725</v>
      </c>
      <c r="K27" s="1" t="str">
        <f t="shared" si="5"/>
        <v>1780 - 2004</v>
      </c>
    </row>
    <row r="29" spans="1:11" x14ac:dyDescent="0.25">
      <c r="A29" s="2" t="s">
        <v>24</v>
      </c>
      <c r="B29" s="1">
        <v>7</v>
      </c>
    </row>
    <row r="30" spans="1:11" ht="15.75" x14ac:dyDescent="0.3">
      <c r="A30" s="6" t="s">
        <v>29</v>
      </c>
      <c r="B30" s="1"/>
    </row>
    <row r="31" spans="1:11" ht="15.75" x14ac:dyDescent="0.3">
      <c r="A31" s="4" t="s">
        <v>18</v>
      </c>
    </row>
    <row r="32" spans="1:11" ht="15.75" x14ac:dyDescent="0.3">
      <c r="A32" s="4"/>
    </row>
    <row r="33" spans="1:1" ht="15.75" x14ac:dyDescent="0.3">
      <c r="A33" s="5" t="str">
        <f>"entries &lt;- "&amp;$B$8+$B$4+$B$3</f>
        <v>entries &lt;- 338</v>
      </c>
    </row>
    <row r="34" spans="1:1" ht="15.75" x14ac:dyDescent="0.3">
      <c r="A34" s="5" t="str">
        <f>"field.rows &lt;- "&amp;B17</f>
        <v>field.rows &lt;- 20</v>
      </c>
    </row>
    <row r="35" spans="1:1" ht="15.75" x14ac:dyDescent="0.3">
      <c r="A35" s="5" t="str">
        <f>"field.cols &lt;- "&amp;C17</f>
        <v>field.cols &lt;- 20</v>
      </c>
    </row>
    <row r="36" spans="1:1" ht="15.75" x14ac:dyDescent="0.3">
      <c r="A36" s="5" t="str">
        <f>"block.rows &lt;- "&amp;B18</f>
        <v>block.rows &lt;- 20</v>
      </c>
    </row>
    <row r="37" spans="1:1" ht="15.75" x14ac:dyDescent="0.3">
      <c r="A37" s="5" t="str">
        <f>"block.cols &lt;- "&amp;C18</f>
        <v>block.cols &lt;- 10</v>
      </c>
    </row>
    <row r="38" spans="1:1" ht="15.75" x14ac:dyDescent="0.3">
      <c r="A38" s="5" t="str">
        <f>"trt.rep &lt;- rep(c(1, "&amp;$B$6&amp;", 1, "&amp;$B$6&amp;"), c("&amp;$B$4&amp;", "&amp;$B$5&amp;", "&amp;$B$10&amp;", "&amp;$B$3&amp;"))"</f>
        <v>trt.rep &lt;- rep(c(1, 2, 1, 2), c(51, 54, 225, 8))</v>
      </c>
    </row>
    <row r="39" spans="1:1" ht="15.75" x14ac:dyDescent="0.3">
      <c r="A39" s="5" t="str">
        <f>"trt.name &lt;- c(1:"&amp;$B$4&amp;", "&amp;($B$29-1)*$B$8+$B$4+1&amp;":"&amp;($B$29-1)*$B$8+$B$4+$B$5&amp;", "&amp;($B$29-1)*$B$8+$B$4+$B$5+1&amp;":"&amp;($B$29-1)*$B$8+$B$5+$B$4+$B$10&amp;", "&amp;$B$2+1&amp;":"&amp;$B$2+$B$3&amp;")"</f>
        <v>trt.name &lt;- c(1:51, 1726:1779, 1780:2004, 2005:2012)</v>
      </c>
    </row>
    <row r="40" spans="1:1" ht="15.75" x14ac:dyDescent="0.3">
      <c r="A40" s="5"/>
    </row>
    <row r="41" spans="1:1" ht="15.75" x14ac:dyDescent="0.3">
      <c r="A41" s="5" t="s">
        <v>30</v>
      </c>
    </row>
    <row r="42" spans="1:1" ht="15.75" x14ac:dyDescent="0.3">
      <c r="A42" s="5" t="s">
        <v>31</v>
      </c>
    </row>
    <row r="43" spans="1:1" ht="15.75" x14ac:dyDescent="0.3">
      <c r="A43" s="5" t="s">
        <v>32</v>
      </c>
    </row>
    <row r="44" spans="1:1" ht="15.75" x14ac:dyDescent="0.3">
      <c r="A44" s="5" t="s">
        <v>33</v>
      </c>
    </row>
    <row r="45" spans="1:1" ht="15.75" x14ac:dyDescent="0.3">
      <c r="A45" s="5" t="s">
        <v>34</v>
      </c>
    </row>
    <row r="46" spans="1:1" ht="15.75" x14ac:dyDescent="0.3">
      <c r="A46" s="5" t="s">
        <v>35</v>
      </c>
    </row>
    <row r="47" spans="1:1" ht="15.75" x14ac:dyDescent="0.3">
      <c r="A47" s="5"/>
    </row>
    <row r="48" spans="1:1" ht="15.75" x14ac:dyDescent="0.3">
      <c r="A48" s="5" t="s">
        <v>25</v>
      </c>
    </row>
    <row r="49" spans="1:1" ht="15.75" x14ac:dyDescent="0.3">
      <c r="A49" s="5" t="s">
        <v>26</v>
      </c>
    </row>
    <row r="50" spans="1:1" ht="15.75" x14ac:dyDescent="0.3">
      <c r="A50" s="5" t="s">
        <v>27</v>
      </c>
    </row>
    <row r="51" spans="1:1" ht="15.75" x14ac:dyDescent="0.3">
      <c r="A51" s="5"/>
    </row>
    <row r="52" spans="1:1" ht="15.75" x14ac:dyDescent="0.3">
      <c r="A52" s="5" t="str">
        <f>"png('layout-loc"&amp;$B$29&amp;".png', width = 2400, height = 1200, res = 96)"</f>
        <v>png('layout-loc7.png', width = 2400, height = 1200, res = 96)</v>
      </c>
    </row>
    <row r="53" spans="1:1" ht="15.75" x14ac:dyDescent="0.3">
      <c r="A53" s="5" t="str">
        <f>"desPlot(layout, c(1:"&amp;$B$4&amp;"), col = '#B9D9FF', new = TRUE)"</f>
        <v>desPlot(layout, c(1:51), col = '#B9D9FF', new = TRUE)</v>
      </c>
    </row>
    <row r="54" spans="1:1" ht="15.75" x14ac:dyDescent="0.3">
      <c r="A54" s="5" t="str">
        <f>"desPlot(layout, c("&amp;($B$29-1)*$B$8+$B$4+1&amp;":"&amp;($B$29-1)*$B$8+$B$4+$B$5&amp;"), col = '#F0E68C', new = FALSE)"</f>
        <v>desPlot(layout, c(1726:1779), col = '#F0E68C', new = FALSE)</v>
      </c>
    </row>
    <row r="55" spans="1:1" ht="15.75" x14ac:dyDescent="0.3">
      <c r="A55" s="5" t="str">
        <f>"desPlot(layout, c("&amp;($B$29-1)*$B$8+$B$4+$B$5+1&amp;":"&amp;($B$29-1)*$B$8+$B$5+$B$4+$B$10&amp;"), col = '#C9E7B7', new = FALSE)"</f>
        <v>desPlot(layout, c(1780:2004), col = '#C9E7B7', new = FALSE)</v>
      </c>
    </row>
    <row r="56" spans="1:1" ht="15.75" x14ac:dyDescent="0.3">
      <c r="A56" s="5" t="str">
        <f>"desPlot(layout, c("&amp;$B$2+1&amp;":"&amp;$B$2+$B$3&amp;"), col = '#F7B2B7', new = FALSE)"</f>
        <v>desPlot(layout, c(2005:2012), col = '#F7B2B7', new = FALSE)</v>
      </c>
    </row>
    <row r="57" spans="1:1" ht="15.75" x14ac:dyDescent="0.3">
      <c r="A57" s="5" t="s">
        <v>36</v>
      </c>
    </row>
    <row r="58" spans="1:1" ht="15.75" x14ac:dyDescent="0.3">
      <c r="A58" s="5" t="s">
        <v>39</v>
      </c>
    </row>
    <row r="59" spans="1:1" ht="15.75" x14ac:dyDescent="0.3">
      <c r="A59" s="5"/>
    </row>
    <row r="60" spans="1:1" ht="15.75" x14ac:dyDescent="0.3">
      <c r="A60" s="5" t="s">
        <v>37</v>
      </c>
    </row>
    <row r="61" spans="1:1" ht="15.75" x14ac:dyDescent="0.3">
      <c r="A61" s="5" t="s">
        <v>28</v>
      </c>
    </row>
    <row r="62" spans="1:1" ht="15.75" x14ac:dyDescent="0.3">
      <c r="A62" s="5" t="str">
        <f>"fieldbook$Block &lt;- rep(1:"&amp;$B$6&amp;", each="&amp;$D$18&amp;")"</f>
        <v>fieldbook$Block &lt;- rep(1:2, each=200)</v>
      </c>
    </row>
    <row r="63" spans="1:1" ht="15.75" x14ac:dyDescent="0.3">
      <c r="A63" s="5"/>
    </row>
    <row r="64" spans="1:1" ht="15.75" x14ac:dyDescent="0.3">
      <c r="A64" s="5" t="str">
        <f>"fieldbook$Plot &lt;- with(fieldbook, "&amp;B18&amp;"*(Col-1) + Row + (1-Col%%2)*("&amp;B18+1&amp;"-2*Row))"</f>
        <v>fieldbook$Plot &lt;- with(fieldbook, 20*(Col-1) + Row + (1-Col%%2)*(21-2*Row))</v>
      </c>
    </row>
    <row r="65" spans="1:1" ht="15.75" x14ac:dyDescent="0.3">
      <c r="A65" s="5" t="s">
        <v>42</v>
      </c>
    </row>
    <row r="66" spans="1:1" ht="15.75" x14ac:dyDescent="0.3">
      <c r="A66" s="5"/>
    </row>
    <row r="67" spans="1:1" ht="15.75" x14ac:dyDescent="0.3">
      <c r="A67" s="5" t="str">
        <f>"write.csv(fieldbook, 'fieldbook-loc"&amp;$B$29&amp;".csv', row.names = FALSE)"</f>
        <v>write.csv(fieldbook, 'fieldbook-loc7.csv', row.names = FALSE)</v>
      </c>
    </row>
    <row r="311" spans="3:3" x14ac:dyDescent="0.25">
      <c r="C311" t="s">
        <v>15</v>
      </c>
    </row>
  </sheetData>
  <mergeCells count="1">
    <mergeCell ref="E22:K22"/>
  </mergeCells>
  <phoneticPr fontId="1" type="noConversion"/>
  <conditionalFormatting sqref="B18">
    <cfRule type="cellIs" dxfId="3" priority="2" operator="greaterThan">
      <formula>$B$17</formula>
    </cfRule>
  </conditionalFormatting>
  <conditionalFormatting sqref="C18">
    <cfRule type="cellIs" dxfId="2" priority="1" operator="greaterThan">
      <formula>$C$17</formula>
    </cfRule>
  </conditionalFormatting>
  <conditionalFormatting sqref="D17">
    <cfRule type="cellIs" dxfId="1" priority="4" operator="notEqual">
      <formula>$B$11</formula>
    </cfRule>
  </conditionalFormatting>
  <conditionalFormatting sqref="D18">
    <cfRule type="cellIs" dxfId="0" priority="3" operator="notEqual">
      <formula>$B$11/$B$6</formula>
    </cfRule>
  </conditionalFormatting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ED51D8AB1184E8865A1D6D2530336" ma:contentTypeVersion="13" ma:contentTypeDescription="Create a new document." ma:contentTypeScope="" ma:versionID="3dc9cb3b101cf6c9591f1808175c6a0a">
  <xsd:schema xmlns:xsd="http://www.w3.org/2001/XMLSchema" xmlns:xs="http://www.w3.org/2001/XMLSchema" xmlns:p="http://schemas.microsoft.com/office/2006/metadata/properties" xmlns:ns3="7638994b-6920-40e2-b996-68a0f82904f2" xmlns:ns4="cc44b21c-aa89-4bbd-ba66-f09e1816ba12" targetNamespace="http://schemas.microsoft.com/office/2006/metadata/properties" ma:root="true" ma:fieldsID="04a1eecd3e937892f97ea9974f2bc0d9" ns3:_="" ns4:_="">
    <xsd:import namespace="7638994b-6920-40e2-b996-68a0f82904f2"/>
    <xsd:import namespace="cc44b21c-aa89-4bbd-ba66-f09e1816ba12"/>
    <xsd:element name="properties">
      <xsd:complexType>
        <xsd:sequence>
          <xsd:element name="documentManagement">
            <xsd:complexType>
              <xsd:all>
                <xsd:element ref="ns3:SharedWithDetails" minOccurs="0"/>
                <xsd:element ref="ns3:SharedWithUser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38994b-6920-40e2-b996-68a0f82904f2" elementFormDefault="qualified">
    <xsd:import namespace="http://schemas.microsoft.com/office/2006/documentManagement/types"/>
    <xsd:import namespace="http://schemas.microsoft.com/office/infopath/2007/PartnerControls"/>
    <xsd:element name="SharedWithDetails" ma:index="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4b21c-aa89-4bbd-ba66-f09e1816ba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E3AE07-52C1-469E-8E3F-C860AC8EA6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38994b-6920-40e2-b996-68a0f82904f2"/>
    <ds:schemaRef ds:uri="cc44b21c-aa89-4bbd-ba66-f09e1816ba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CC7EB2-2A2F-42C6-8545-E2BE304634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5208F4-F75E-486E-A1CC-7E5E57ECC57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Builder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Al-Sham'aa, Khaled (ICARDA)</dc:creator>
  <cp:lastModifiedBy>Al-Sham'aa, Khaled (ICARDA)</cp:lastModifiedBy>
  <cp:lastPrinted>2023-05-18T13:47:20Z</cp:lastPrinted>
  <dcterms:created xsi:type="dcterms:W3CDTF">2020-09-02T11:21:11Z</dcterms:created>
  <dcterms:modified xsi:type="dcterms:W3CDTF">2026-08-11T17:29:36Z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0x01010001DED51D8AB1184E8865A1D6D2530336</vt:lpwstr>
  </property>
</Properties>
</file>